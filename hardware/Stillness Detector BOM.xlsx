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ob/Documents/Courses/Wabi Sabi Electronics/Stillness Detector PCB and Enclosure/"/>
    </mc:Choice>
  </mc:AlternateContent>
  <xr:revisionPtr revIDLastSave="0" documentId="13_ncr:1_{D980ED68-B7B5-AB43-A090-E0EBEBC9FAF4}" xr6:coauthVersionLast="47" xr6:coauthVersionMax="47" xr10:uidLastSave="{00000000-0000-0000-0000-000000000000}"/>
  <bookViews>
    <workbookView xWindow="1100" yWindow="900" windowWidth="28040" windowHeight="17180" xr2:uid="{B8077FA0-13D3-D549-B749-92401BD5C8B8}"/>
  </bookViews>
  <sheets>
    <sheet name="Sheet1" sheetId="1" r:id="rId1"/>
  </sheets>
  <definedNames>
    <definedName name="stillness_detector" localSheetId="0">Sheet1!$A$1:$L$15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" i="1"/>
  <c r="H4" i="1"/>
  <c r="H16" i="1"/>
  <c r="H21" i="1"/>
  <c r="G20" i="1"/>
  <c r="H20" i="1" s="1"/>
  <c r="G19" i="1"/>
  <c r="H19" i="1" s="1"/>
  <c r="G17" i="1"/>
  <c r="H17" i="1" s="1"/>
  <c r="G18" i="1"/>
  <c r="H18" i="1" s="1"/>
  <c r="H2" i="1"/>
  <c r="H3" i="1"/>
  <c r="H5" i="1"/>
  <c r="H6" i="1"/>
  <c r="H7" i="1"/>
  <c r="H8" i="1"/>
  <c r="H9" i="1"/>
  <c r="H10" i="1"/>
  <c r="H11" i="1"/>
  <c r="H12" i="1"/>
  <c r="H13" i="1"/>
  <c r="H14" i="1"/>
  <c r="H15" i="1"/>
  <c r="H22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68DB1D7-D1B9-6946-BB2C-7205A5F3E7B3}" name="stillness-detector" type="6" refreshedVersion="8" background="1" saveData="1">
    <textPr sourceFile="/Users/rob/Desktop/stillness-detector.csv" tab="0" semicolon="1">
      <textFields count="8"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<sst xmlns="http://schemas.openxmlformats.org/spreadsheetml/2006/main" count="102" uniqueCount="78">
  <si>
    <t>Id</t>
  </si>
  <si>
    <t>Designator</t>
  </si>
  <si>
    <t>Footprint</t>
  </si>
  <si>
    <t>Quantity</t>
  </si>
  <si>
    <t>Designation</t>
  </si>
  <si>
    <t>Supplier and ref</t>
  </si>
  <si>
    <t>J3,J4</t>
  </si>
  <si>
    <t>USB_C_Receptacle_GCT_USB4125-xx-x-0190_6P_TopMnt_Horizontal</t>
  </si>
  <si>
    <t>USB_C_PowerOnly</t>
  </si>
  <si>
    <t>Q3</t>
  </si>
  <si>
    <t>SOT-23</t>
  </si>
  <si>
    <t>MMBT3904</t>
  </si>
  <si>
    <t>R6</t>
  </si>
  <si>
    <t>R_1210_3225Metric_Pad1.30x2.65mm_HandSolder</t>
  </si>
  <si>
    <t>R5,R4,R1</t>
  </si>
  <si>
    <t>R_1206_3216Metric</t>
  </si>
  <si>
    <t>R3,R2</t>
  </si>
  <si>
    <t>4.7k</t>
  </si>
  <si>
    <t>Q2</t>
  </si>
  <si>
    <t>DMG2301L</t>
  </si>
  <si>
    <t>J5</t>
  </si>
  <si>
    <t>TerminalBlock_Xinya_XY308-2.54-4P_1x04_P2.54mm_Horizontal</t>
  </si>
  <si>
    <t>Screw_Terminal_01x04</t>
  </si>
  <si>
    <t>J2</t>
  </si>
  <si>
    <t>JST_1x04_P1.0mm_Horizontal_SMD</t>
  </si>
  <si>
    <t>Qwiic_RA</t>
  </si>
  <si>
    <t>J1</t>
  </si>
  <si>
    <t>TerminalBlock_Xinya_XY308-2.54-3P_1x03_P2.54mm_Horizontal</t>
  </si>
  <si>
    <t>PIR Sensor Screw_Terminal_01x03</t>
  </si>
  <si>
    <t>D4</t>
  </si>
  <si>
    <t>LED_1206_3216Metric</t>
  </si>
  <si>
    <t>LED-Y</t>
  </si>
  <si>
    <t>D3</t>
  </si>
  <si>
    <t>LED-G</t>
  </si>
  <si>
    <t>D2</t>
  </si>
  <si>
    <t>LED-R</t>
  </si>
  <si>
    <t>A1</t>
  </si>
  <si>
    <t>RaspberryPi_Pico_Common_Unspecified</t>
  </si>
  <si>
    <t>311-4.70KFRCT-ND</t>
  </si>
  <si>
    <t>311-220FRCT-ND</t>
  </si>
  <si>
    <t>311-330FRCT-ND</t>
  </si>
  <si>
    <t>160-1406-1-ND</t>
  </si>
  <si>
    <t>160-1456-1-ND</t>
  </si>
  <si>
    <t>160-1168-1-ND</t>
  </si>
  <si>
    <t>ED10563-ND</t>
  </si>
  <si>
    <t>ED10562-ND</t>
  </si>
  <si>
    <t>455-SM04B-SRSS-TBCT-ND</t>
  </si>
  <si>
    <t>DMG2301L-7DICT-ND</t>
  </si>
  <si>
    <t>4878-MMBT3904CT-ND</t>
  </si>
  <si>
    <t>Digi-Key</t>
  </si>
  <si>
    <t>2073-USB4125-GF-A-0190CT-ND</t>
  </si>
  <si>
    <t>PIR Sensor</t>
  </si>
  <si>
    <t>TOF Sensor</t>
  </si>
  <si>
    <t>PIR cables</t>
  </si>
  <si>
    <t>TOF cables</t>
  </si>
  <si>
    <t>Cost</t>
  </si>
  <si>
    <t>Extended Cost</t>
  </si>
  <si>
    <t>PCB</t>
  </si>
  <si>
    <t>Amazon</t>
  </si>
  <si>
    <t>ACEIRMC TOF400C</t>
  </si>
  <si>
    <t>B096NZ4P3K</t>
  </si>
  <si>
    <t>F - M</t>
  </si>
  <si>
    <t>Female headers 20-pin for Pico</t>
  </si>
  <si>
    <t>20-position Female header</t>
  </si>
  <si>
    <t>21601X20GSE</t>
  </si>
  <si>
    <t>R7-10</t>
  </si>
  <si>
    <t>5.1k</t>
  </si>
  <si>
    <t>311-5.10KFRCT-ND</t>
  </si>
  <si>
    <t>330</t>
  </si>
  <si>
    <t>220</t>
  </si>
  <si>
    <t>Raspberry Pi Pico 2 WH</t>
  </si>
  <si>
    <t>2648-SC1634-ND</t>
  </si>
  <si>
    <t>Q x 10</t>
  </si>
  <si>
    <t>1528-1161-ND</t>
  </si>
  <si>
    <t>SR602 PIR</t>
  </si>
  <si>
    <t>B0FQ4ZXRZS</t>
  </si>
  <si>
    <t>OSH Park</t>
  </si>
  <si>
    <t>https://oshpark.com/shared_projects/h9REVbJo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</si>
</sst>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80623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6">
    <xf numFmtId="0" fontId="0" fillId="0" borderId="0" xfId="0"/>
    <xf numFmtId="44" fontId="0" fillId="0" borderId="0" xfId="1" applyFont="1"/>
    <xf numFmtId="44" fontId="3" fillId="0" borderId="0" xfId="1" applyFont="1"/>
    <xf numFmtId="0" fontId="0" fillId="0" borderId="0" xfId="0" quotePrefix="1"/>
    <xf numFmtId="44" fontId="0" fillId="0" borderId="0" xfId="1" applyFont="1" applyFill="1"/>
    <xf numFmtId="44" fontId="2" fillId="0" borderId="1" xfId="1" applyFont="1" applyFill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stillness-detector" connectionId="1" xr16:uid="{8895EA5D-8A13-224E-9D61-5793ADC89332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F3F3E0-072E-BE43-A120-9EF1F077D069}">
  <dimension ref="A1:J22"/>
  <sheetViews>
    <sheetView tabSelected="1" workbookViewId="0">
      <selection activeCell="I25" sqref="I25"/>
    </sheetView>
  </sheetViews>
  <sheetFormatPr baseColWidth="10" defaultRowHeight="16" x14ac:dyDescent="0.2"/>
  <cols>
    <col min="1" max="1" width="3.1640625" bestFit="1" customWidth="1"/>
    <col min="2" max="2" width="10" bestFit="1" customWidth="1"/>
    <col min="3" max="3" width="59.1640625" bestFit="1" customWidth="1"/>
    <col min="4" max="4" width="8.1640625" bestFit="1" customWidth="1"/>
    <col min="5" max="5" width="8.1640625" customWidth="1"/>
    <col min="6" max="6" width="30" bestFit="1" customWidth="1"/>
    <col min="7" max="8" width="30" style="1" customWidth="1"/>
    <col min="9" max="9" width="30" customWidth="1"/>
    <col min="10" max="10" width="14.16406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72</v>
      </c>
      <c r="F1" t="s">
        <v>4</v>
      </c>
      <c r="G1" s="1" t="s">
        <v>55</v>
      </c>
      <c r="H1" s="1" t="s">
        <v>56</v>
      </c>
      <c r="J1" t="s">
        <v>5</v>
      </c>
    </row>
    <row r="2" spans="1:10" x14ac:dyDescent="0.2">
      <c r="A2">
        <v>1</v>
      </c>
      <c r="B2" t="s">
        <v>6</v>
      </c>
      <c r="C2" t="s">
        <v>7</v>
      </c>
      <c r="D2">
        <v>2</v>
      </c>
      <c r="E2">
        <f>D2*10</f>
        <v>20</v>
      </c>
      <c r="F2" t="s">
        <v>8</v>
      </c>
      <c r="G2" s="1">
        <v>0.6</v>
      </c>
      <c r="H2" s="1">
        <f t="shared" ref="H2:H14" si="0">D2*G2</f>
        <v>1.2</v>
      </c>
      <c r="I2" t="s">
        <v>49</v>
      </c>
      <c r="J2" t="s">
        <v>50</v>
      </c>
    </row>
    <row r="3" spans="1:10" x14ac:dyDescent="0.2">
      <c r="A3">
        <v>2</v>
      </c>
      <c r="B3" t="s">
        <v>9</v>
      </c>
      <c r="C3" t="s">
        <v>10</v>
      </c>
      <c r="D3">
        <v>1</v>
      </c>
      <c r="E3">
        <f t="shared" ref="E3:E21" si="1">D3*10</f>
        <v>10</v>
      </c>
      <c r="F3" t="s">
        <v>11</v>
      </c>
      <c r="G3" s="1">
        <v>7.0000000000000007E-2</v>
      </c>
      <c r="H3" s="1">
        <f t="shared" si="0"/>
        <v>7.0000000000000007E-2</v>
      </c>
      <c r="I3" t="s">
        <v>49</v>
      </c>
      <c r="J3" t="s">
        <v>48</v>
      </c>
    </row>
    <row r="4" spans="1:10" x14ac:dyDescent="0.2">
      <c r="B4" t="s">
        <v>65</v>
      </c>
      <c r="C4" t="s">
        <v>13</v>
      </c>
      <c r="D4">
        <v>4</v>
      </c>
      <c r="E4">
        <f t="shared" si="1"/>
        <v>40</v>
      </c>
      <c r="F4" t="s">
        <v>66</v>
      </c>
      <c r="G4" s="1">
        <v>4.7E-2</v>
      </c>
      <c r="H4" s="1">
        <f t="shared" ref="H4" si="2">D4*G4</f>
        <v>0.188</v>
      </c>
      <c r="I4" t="s">
        <v>49</v>
      </c>
      <c r="J4" t="s">
        <v>67</v>
      </c>
    </row>
    <row r="5" spans="1:10" x14ac:dyDescent="0.2">
      <c r="A5">
        <v>3</v>
      </c>
      <c r="B5" t="s">
        <v>12</v>
      </c>
      <c r="C5" t="s">
        <v>13</v>
      </c>
      <c r="D5">
        <v>1</v>
      </c>
      <c r="E5">
        <f t="shared" si="1"/>
        <v>10</v>
      </c>
      <c r="F5" s="3" t="s">
        <v>68</v>
      </c>
      <c r="G5" s="1">
        <v>1.0999999999999999E-2</v>
      </c>
      <c r="H5" s="1">
        <f t="shared" si="0"/>
        <v>1.0999999999999999E-2</v>
      </c>
      <c r="I5" t="s">
        <v>49</v>
      </c>
      <c r="J5" t="s">
        <v>40</v>
      </c>
    </row>
    <row r="6" spans="1:10" x14ac:dyDescent="0.2">
      <c r="A6">
        <v>4</v>
      </c>
      <c r="B6" t="s">
        <v>14</v>
      </c>
      <c r="C6" t="s">
        <v>15</v>
      </c>
      <c r="D6">
        <v>3</v>
      </c>
      <c r="E6">
        <f t="shared" si="1"/>
        <v>30</v>
      </c>
      <c r="F6" s="3" t="s">
        <v>69</v>
      </c>
      <c r="G6" s="2">
        <v>0.01</v>
      </c>
      <c r="H6" s="1">
        <f t="shared" si="0"/>
        <v>0.03</v>
      </c>
      <c r="I6" t="s">
        <v>49</v>
      </c>
      <c r="J6" t="s">
        <v>39</v>
      </c>
    </row>
    <row r="7" spans="1:10" x14ac:dyDescent="0.2">
      <c r="A7">
        <v>5</v>
      </c>
      <c r="B7" t="s">
        <v>16</v>
      </c>
      <c r="C7" t="s">
        <v>13</v>
      </c>
      <c r="D7">
        <v>2</v>
      </c>
      <c r="E7">
        <f t="shared" si="1"/>
        <v>20</v>
      </c>
      <c r="F7" t="s">
        <v>17</v>
      </c>
      <c r="G7" s="1">
        <v>1.0800000000000001E-2</v>
      </c>
      <c r="H7" s="1">
        <f t="shared" si="0"/>
        <v>2.1600000000000001E-2</v>
      </c>
      <c r="I7" t="s">
        <v>49</v>
      </c>
      <c r="J7" t="s">
        <v>38</v>
      </c>
    </row>
    <row r="8" spans="1:10" x14ac:dyDescent="0.2">
      <c r="A8">
        <v>6</v>
      </c>
      <c r="B8" t="s">
        <v>18</v>
      </c>
      <c r="C8" t="s">
        <v>10</v>
      </c>
      <c r="D8">
        <v>1</v>
      </c>
      <c r="E8">
        <f t="shared" si="1"/>
        <v>10</v>
      </c>
      <c r="F8" t="s">
        <v>19</v>
      </c>
      <c r="G8" s="1">
        <v>0.161</v>
      </c>
      <c r="H8" s="1">
        <f t="shared" si="0"/>
        <v>0.161</v>
      </c>
      <c r="I8" t="s">
        <v>49</v>
      </c>
      <c r="J8" t="s">
        <v>47</v>
      </c>
    </row>
    <row r="9" spans="1:10" x14ac:dyDescent="0.2">
      <c r="A9">
        <v>7</v>
      </c>
      <c r="B9" t="s">
        <v>20</v>
      </c>
      <c r="C9" t="s">
        <v>21</v>
      </c>
      <c r="D9">
        <v>1</v>
      </c>
      <c r="E9">
        <f t="shared" si="1"/>
        <v>10</v>
      </c>
      <c r="F9" t="s">
        <v>22</v>
      </c>
      <c r="G9" s="1">
        <v>1.63</v>
      </c>
      <c r="H9" s="1">
        <f t="shared" si="0"/>
        <v>1.63</v>
      </c>
      <c r="I9" t="s">
        <v>49</v>
      </c>
      <c r="J9" t="s">
        <v>44</v>
      </c>
    </row>
    <row r="10" spans="1:10" x14ac:dyDescent="0.2">
      <c r="A10">
        <v>8</v>
      </c>
      <c r="B10" t="s">
        <v>23</v>
      </c>
      <c r="C10" t="s">
        <v>24</v>
      </c>
      <c r="D10">
        <v>1</v>
      </c>
      <c r="E10">
        <f t="shared" si="1"/>
        <v>10</v>
      </c>
      <c r="F10" t="s">
        <v>25</v>
      </c>
      <c r="G10" s="1">
        <v>0.42399999999999999</v>
      </c>
      <c r="H10" s="1">
        <f t="shared" si="0"/>
        <v>0.42399999999999999</v>
      </c>
      <c r="I10" t="s">
        <v>49</v>
      </c>
      <c r="J10" t="s">
        <v>46</v>
      </c>
    </row>
    <row r="11" spans="1:10" x14ac:dyDescent="0.2">
      <c r="A11">
        <v>9</v>
      </c>
      <c r="B11" t="s">
        <v>26</v>
      </c>
      <c r="C11" t="s">
        <v>27</v>
      </c>
      <c r="D11">
        <v>1</v>
      </c>
      <c r="E11">
        <f t="shared" si="1"/>
        <v>10</v>
      </c>
      <c r="F11" t="s">
        <v>28</v>
      </c>
      <c r="G11" s="1">
        <v>1.26</v>
      </c>
      <c r="H11" s="1">
        <f t="shared" si="0"/>
        <v>1.26</v>
      </c>
      <c r="I11" t="s">
        <v>49</v>
      </c>
      <c r="J11" t="s">
        <v>45</v>
      </c>
    </row>
    <row r="12" spans="1:10" x14ac:dyDescent="0.2">
      <c r="A12">
        <v>10</v>
      </c>
      <c r="B12" t="s">
        <v>29</v>
      </c>
      <c r="C12" t="s">
        <v>30</v>
      </c>
      <c r="D12">
        <v>1</v>
      </c>
      <c r="E12">
        <f t="shared" si="1"/>
        <v>10</v>
      </c>
      <c r="F12" t="s">
        <v>31</v>
      </c>
      <c r="G12" s="1">
        <v>0.125</v>
      </c>
      <c r="H12" s="1">
        <f t="shared" si="0"/>
        <v>0.125</v>
      </c>
      <c r="I12" t="s">
        <v>49</v>
      </c>
      <c r="J12" t="s">
        <v>41</v>
      </c>
    </row>
    <row r="13" spans="1:10" x14ac:dyDescent="0.2">
      <c r="A13">
        <v>11</v>
      </c>
      <c r="B13" t="s">
        <v>32</v>
      </c>
      <c r="C13" t="s">
        <v>30</v>
      </c>
      <c r="D13">
        <v>1</v>
      </c>
      <c r="E13">
        <f t="shared" si="1"/>
        <v>10</v>
      </c>
      <c r="F13" t="s">
        <v>33</v>
      </c>
      <c r="G13" s="1">
        <v>9.0999999999999998E-2</v>
      </c>
      <c r="H13" s="1">
        <f t="shared" si="0"/>
        <v>9.0999999999999998E-2</v>
      </c>
      <c r="I13" t="s">
        <v>49</v>
      </c>
      <c r="J13" t="s">
        <v>42</v>
      </c>
    </row>
    <row r="14" spans="1:10" x14ac:dyDescent="0.2">
      <c r="A14">
        <v>12</v>
      </c>
      <c r="B14" t="s">
        <v>34</v>
      </c>
      <c r="C14" t="s">
        <v>30</v>
      </c>
      <c r="D14">
        <v>1</v>
      </c>
      <c r="E14">
        <f t="shared" si="1"/>
        <v>10</v>
      </c>
      <c r="F14" t="s">
        <v>35</v>
      </c>
      <c r="G14" s="1">
        <v>9.0999999999999998E-2</v>
      </c>
      <c r="H14" s="1">
        <f t="shared" si="0"/>
        <v>9.0999999999999998E-2</v>
      </c>
      <c r="I14" t="s">
        <v>49</v>
      </c>
      <c r="J14" t="s">
        <v>43</v>
      </c>
    </row>
    <row r="15" spans="1:10" x14ac:dyDescent="0.2">
      <c r="A15">
        <v>13</v>
      </c>
      <c r="B15" t="s">
        <v>36</v>
      </c>
      <c r="C15" t="s">
        <v>37</v>
      </c>
      <c r="D15">
        <v>1</v>
      </c>
      <c r="E15">
        <f t="shared" si="1"/>
        <v>10</v>
      </c>
      <c r="F15" t="s">
        <v>70</v>
      </c>
      <c r="G15" s="4">
        <v>8</v>
      </c>
      <c r="H15" s="4">
        <f>D15*G15</f>
        <v>8</v>
      </c>
      <c r="I15" t="s">
        <v>49</v>
      </c>
      <c r="J15" t="s">
        <v>71</v>
      </c>
    </row>
    <row r="16" spans="1:10" x14ac:dyDescent="0.2">
      <c r="C16" t="s">
        <v>62</v>
      </c>
      <c r="D16">
        <v>2</v>
      </c>
      <c r="E16">
        <f t="shared" si="1"/>
        <v>20</v>
      </c>
      <c r="F16" t="s">
        <v>63</v>
      </c>
      <c r="G16" s="4">
        <v>0.85</v>
      </c>
      <c r="H16" s="4">
        <f>D16*G16</f>
        <v>1.7</v>
      </c>
      <c r="I16" t="s">
        <v>49</v>
      </c>
      <c r="J16" t="s">
        <v>64</v>
      </c>
    </row>
    <row r="17" spans="3:10" x14ac:dyDescent="0.2">
      <c r="C17" t="s">
        <v>51</v>
      </c>
      <c r="D17">
        <v>1</v>
      </c>
      <c r="E17">
        <f t="shared" si="1"/>
        <v>10</v>
      </c>
      <c r="F17" t="s">
        <v>74</v>
      </c>
      <c r="G17" s="4">
        <f>9.98/5</f>
        <v>1.996</v>
      </c>
      <c r="H17" s="4">
        <f>D17*G17</f>
        <v>1.996</v>
      </c>
      <c r="I17" t="s">
        <v>58</v>
      </c>
      <c r="J17" t="s">
        <v>60</v>
      </c>
    </row>
    <row r="18" spans="3:10" x14ac:dyDescent="0.2">
      <c r="C18" t="s">
        <v>52</v>
      </c>
      <c r="D18">
        <v>1</v>
      </c>
      <c r="E18">
        <f t="shared" si="1"/>
        <v>10</v>
      </c>
      <c r="F18" t="s">
        <v>59</v>
      </c>
      <c r="G18" s="4">
        <f>21.89/4</f>
        <v>5.4725000000000001</v>
      </c>
      <c r="H18" s="4">
        <f t="shared" ref="H18:H21" si="3">D18*G18</f>
        <v>5.4725000000000001</v>
      </c>
      <c r="I18" t="s">
        <v>58</v>
      </c>
      <c r="J18" t="s">
        <v>75</v>
      </c>
    </row>
    <row r="19" spans="3:10" x14ac:dyDescent="0.2">
      <c r="C19" t="s">
        <v>53</v>
      </c>
      <c r="D19">
        <v>3</v>
      </c>
      <c r="E19">
        <f t="shared" si="1"/>
        <v>30</v>
      </c>
      <c r="F19" t="s">
        <v>61</v>
      </c>
      <c r="G19" s="4">
        <f>4.99/40</f>
        <v>0.12475</v>
      </c>
      <c r="H19" s="4">
        <f t="shared" si="3"/>
        <v>0.37424999999999997</v>
      </c>
      <c r="I19" t="s">
        <v>49</v>
      </c>
      <c r="J19" t="s">
        <v>73</v>
      </c>
    </row>
    <row r="20" spans="3:10" x14ac:dyDescent="0.2">
      <c r="C20" t="s">
        <v>54</v>
      </c>
      <c r="D20">
        <v>4</v>
      </c>
      <c r="E20">
        <f t="shared" si="1"/>
        <v>40</v>
      </c>
      <c r="F20" t="s">
        <v>61</v>
      </c>
      <c r="G20" s="4">
        <f>4.99/40</f>
        <v>0.12475</v>
      </c>
      <c r="H20" s="4">
        <f t="shared" si="3"/>
        <v>0.499</v>
      </c>
      <c r="I20" t="s">
        <v>49</v>
      </c>
      <c r="J20" t="s">
        <v>73</v>
      </c>
    </row>
    <row r="21" spans="3:10" x14ac:dyDescent="0.2">
      <c r="C21" t="s">
        <v>57</v>
      </c>
      <c r="D21">
        <v>1</v>
      </c>
      <c r="E21">
        <f t="shared" si="1"/>
        <v>10</v>
      </c>
      <c r="G21" s="4">
        <v>16.05</v>
      </c>
      <c r="H21" s="4">
        <f t="shared" si="3"/>
        <v>16.05</v>
      </c>
      <c r="I21" t="s">
        <v>76</v>
      </c>
      <c r="J21" t="s">
        <v>77</v>
      </c>
    </row>
    <row r="22" spans="3:10" x14ac:dyDescent="0.2">
      <c r="G22" s="4"/>
      <c r="H22" s="5">
        <f>SUM(H2:H21)</f>
        <v>39.394350000000003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Sheet1!stillness_detector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Faludi, Robert</dc:creator>
  <cp:lastModifiedBy>Robert Faludi</cp:lastModifiedBy>
  <dcterms:created xsi:type="dcterms:W3CDTF">2026-03-24T19:26:08Z</dcterms:created>
  <dcterms:modified xsi:type="dcterms:W3CDTF">2026-05-24T13:27:41Z</dcterms:modified>
</cp:coreProperties>
</file>